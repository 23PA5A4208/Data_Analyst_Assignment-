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ticket" sheetId="2" state="visible" r:id="rId3"/>
    <sheet name="feedbacks" sheetId="3" state="visible" r:id="rId4"/>
    <sheet name="Analysi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<sst xmlns="http://schemas.openxmlformats.org/spreadsheetml/2006/main" count="121" uniqueCount="95">
  <si>
    <t xml:space="preserve">PlatinumRx DA Assignment</t>
  </si>
  <si>
    <t xml:space="preserve">Spreadsheet Proficiency - Ticket Analysis</t>
  </si>
  <si>
    <t xml:space="preserve">Sheet Index</t>
  </si>
  <si>
    <t xml:space="preserve">Sheet Name</t>
  </si>
  <si>
    <t xml:space="preserve">Description</t>
  </si>
  <si>
    <t xml:space="preserve">ticket</t>
  </si>
  <si>
    <t xml:space="preserve">Raw ticket data with creation and closure timestamps</t>
  </si>
  <si>
    <t xml:space="preserve">feedbacks</t>
  </si>
  <si>
    <t xml:space="preserve">Customer feedback data with VLOOKUP to fetch ticket creation time</t>
  </si>
  <si>
    <t xml:space="preserve">Analysis</t>
  </si>
  <si>
    <t xml:space="preserve">Outlet-wise analysis of same-day and same-hour ticket closures</t>
  </si>
  <si>
    <t xml:space="preserve">ticket_id</t>
  </si>
  <si>
    <t xml:space="preserve">created_at</t>
  </si>
  <si>
    <t xml:space="preserve">closed_at</t>
  </si>
  <si>
    <t xml:space="preserve">outlet_id</t>
  </si>
  <si>
    <t xml:space="preserve">cms_id</t>
  </si>
  <si>
    <t xml:space="preserve">isu-sjd-457</t>
  </si>
  <si>
    <t xml:space="preserve">2021-08-19 16:45:43</t>
  </si>
  <si>
    <t xml:space="preserve">2021-08-22 12:33:32</t>
  </si>
  <si>
    <t xml:space="preserve">wrqy-juv-978</t>
  </si>
  <si>
    <t xml:space="preserve">vew-iuvd-12</t>
  </si>
  <si>
    <t xml:space="preserve">qer-fal-092</t>
  </si>
  <si>
    <t xml:space="preserve">2021-08-21 11:09:22</t>
  </si>
  <si>
    <t xml:space="preserve">2021-08-21 17:13:45</t>
  </si>
  <si>
    <t xml:space="preserve">8woh-k3u-23b</t>
  </si>
  <si>
    <t xml:space="preserve">xpl-mno-345</t>
  </si>
  <si>
    <t xml:space="preserve">tyu-ghj-123</t>
  </si>
  <si>
    <t xml:space="preserve">2021-08-22 09:30:00</t>
  </si>
  <si>
    <t xml:space="preserve">2021-08-22 09:45:00</t>
  </si>
  <si>
    <t xml:space="preserve">abc-def-678</t>
  </si>
  <si>
    <t xml:space="preserve">vbn-fgh-456</t>
  </si>
  <si>
    <t xml:space="preserve">2021-08-23 14:20:00</t>
  </si>
  <si>
    <t xml:space="preserve">2021-08-24 10:00:00</t>
  </si>
  <si>
    <t xml:space="preserve">xyz-pqr-901</t>
  </si>
  <si>
    <t xml:space="preserve">ghi-jkl-234</t>
  </si>
  <si>
    <t xml:space="preserve">asd-zxc-789</t>
  </si>
  <si>
    <t xml:space="preserve">2021-08-24 08:15:00</t>
  </si>
  <si>
    <t xml:space="preserve">2021-08-24 08:30:00</t>
  </si>
  <si>
    <t xml:space="preserve">mno-pqr-567</t>
  </si>
  <si>
    <t xml:space="preserve">qwe-rty-012</t>
  </si>
  <si>
    <t xml:space="preserve">2021-08-25 16:00:00</t>
  </si>
  <si>
    <t xml:space="preserve">2021-08-25 18:30:00</t>
  </si>
  <si>
    <t xml:space="preserve">stu-vwx-890</t>
  </si>
  <si>
    <t xml:space="preserve">fgh-jkl-345</t>
  </si>
  <si>
    <t xml:space="preserve">2021-08-26 10:30:00</t>
  </si>
  <si>
    <t xml:space="preserve">2021-08-26 11:00:00</t>
  </si>
  <si>
    <t xml:space="preserve">yza-bcd-123</t>
  </si>
  <si>
    <t xml:space="preserve">wer-ert-678</t>
  </si>
  <si>
    <t xml:space="preserve">2021-08-27 13:45:00</t>
  </si>
  <si>
    <t xml:space="preserve">2021-08-27 14:15:00</t>
  </si>
  <si>
    <t xml:space="preserve">efg-hij-456</t>
  </si>
  <si>
    <t xml:space="preserve">cvb-nmm-901</t>
  </si>
  <si>
    <t xml:space="preserve">2021-08-28 09:00:00</t>
  </si>
  <si>
    <t xml:space="preserve">2021-08-28 09:05:00</t>
  </si>
  <si>
    <t xml:space="preserve">klm-nop-789</t>
  </si>
  <si>
    <t xml:space="preserve">dfg-hjk-234</t>
  </si>
  <si>
    <t xml:space="preserve">2021-08-29 15:30:00</t>
  </si>
  <si>
    <t xml:space="preserve">2021-08-30 09:00:00</t>
  </si>
  <si>
    <t xml:space="preserve">qrs-tuv-012</t>
  </si>
  <si>
    <t xml:space="preserve">uio-plk-567</t>
  </si>
  <si>
    <t xml:space="preserve">2021-08-30 11:20:00</t>
  </si>
  <si>
    <t xml:space="preserve">2021-08-30 11:25:00</t>
  </si>
  <si>
    <t xml:space="preserve">wxy-zab-345</t>
  </si>
  <si>
    <t xml:space="preserve">rty-fgh-890</t>
  </si>
  <si>
    <t xml:space="preserve">2021-08-31 08:00:00</t>
  </si>
  <si>
    <t xml:space="preserve">2021-08-31 10:00:00</t>
  </si>
  <si>
    <t xml:space="preserve">cde-fgh-678</t>
  </si>
  <si>
    <t xml:space="preserve">feedback_at</t>
  </si>
  <si>
    <t xml:space="preserve">feedback_rating</t>
  </si>
  <si>
    <t xml:space="preserve">ticket_created_at</t>
  </si>
  <si>
    <t xml:space="preserve">2021-08-21 13:26:48</t>
  </si>
  <si>
    <t xml:space="preserve">2021-08-22 10:00:00</t>
  </si>
  <si>
    <t xml:space="preserve">2021-08-24 11:00:00</t>
  </si>
  <si>
    <t xml:space="preserve">2021-08-25 09:00:00</t>
  </si>
  <si>
    <t xml:space="preserve">2021-08-26 14:00:00</t>
  </si>
  <si>
    <t xml:space="preserve">2021-08-27 12:00:00</t>
  </si>
  <si>
    <t xml:space="preserve">2021-08-28 15:00:00</t>
  </si>
  <si>
    <t xml:space="preserve">2021-08-29 10:00:00</t>
  </si>
  <si>
    <t xml:space="preserve">2021-08-30 16:00:00</t>
  </si>
  <si>
    <t xml:space="preserve">2021-08-31 12:00:00</t>
  </si>
  <si>
    <t xml:space="preserve">2021-09-01 10:00:00</t>
  </si>
  <si>
    <t xml:space="preserve">Note: ticket_created_at uses VLOOKUP formula to fetch data from 'ticket' sheet based on cms_id</t>
  </si>
  <si>
    <t xml:space="preserve">Outlet-wise Ticket Analysis</t>
  </si>
  <si>
    <t xml:space="preserve">Tickets Created and Closed in Same Day / Same Hour</t>
  </si>
  <si>
    <t xml:space="preserve">Outlet ID</t>
  </si>
  <si>
    <t xml:space="preserve">Total Tickets</t>
  </si>
  <si>
    <t xml:space="preserve">Same Day Count</t>
  </si>
  <si>
    <t xml:space="preserve">Same Hour Count</t>
  </si>
  <si>
    <t xml:space="preserve">Same Day %</t>
  </si>
  <si>
    <t xml:space="preserve">Same Hour %</t>
  </si>
  <si>
    <t xml:space="preserve">TOTAL</t>
  </si>
  <si>
    <t xml:space="preserve">Formula Explanation:</t>
  </si>
  <si>
    <t xml:space="preserve">• Same Day Count: Uses SUMPRODUCT to count tickets where DATE(created_at) = DATE(closed_at)</t>
  </si>
  <si>
    <t xml:space="preserve">• Same Hour Count: Uses SUMPRODUCT to count tickets where DATE and HOUR both match</t>
  </si>
  <si>
    <t xml:space="preserve">• Percentages: Calculated as (Count / Total Tickets) for each outlet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</si>
</sst>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333333"/>
      <name val="Cambria"/>
      <family val="0"/>
      <charset val="1"/>
    </font>
    <font>
      <sz val="14"/>
      <color rgb="FF666666"/>
      <name val="Cambria"/>
      <family val="0"/>
      <charset val="1"/>
    </font>
    <font>
      <b val="true"/>
      <sz val="14"/>
      <color rgb="FF33333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6"/>
      <color rgb="FF333333"/>
      <name val="Cambria"/>
      <family val="0"/>
      <charset val="1"/>
    </font>
    <font>
      <sz val="11"/>
      <color rgb="FF666666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333333"/>
      <name val="Cambria"/>
      <family val="0"/>
      <charset val="1"/>
    </font>
    <font>
      <sz val="10"/>
      <color rgb="FF666666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rgb="FF0066C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60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</row>
    <row r="7" customFormat="false" ht="15" hidden="false" customHeight="false" outlineLevel="0" collapsed="false">
      <c r="B7" s="3" t="s">
        <v>2</v>
      </c>
    </row>
    <row r="8" customFormat="false" ht="15" hidden="false" customHeight="false" outlineLevel="0" collapsed="false">
      <c r="B8" s="4" t="s">
        <v>3</v>
      </c>
      <c r="C8" s="4" t="s">
        <v>4</v>
      </c>
    </row>
    <row r="9" customFormat="false" ht="15" hidden="false" customHeight="false" outlineLevel="0" collapsed="false">
      <c r="B9" s="5" t="s">
        <v>5</v>
      </c>
      <c r="C9" s="5" t="s">
        <v>6</v>
      </c>
    </row>
    <row r="10" customFormat="false" ht="15" hidden="false" customHeight="false" outlineLevel="0" collapsed="false">
      <c r="B10" s="5" t="s">
        <v>7</v>
      </c>
      <c r="C10" s="5" t="s">
        <v>8</v>
      </c>
    </row>
    <row r="11" customFormat="false" ht="15" hidden="false" customHeight="false" outlineLevel="0" collapsed="false">
      <c r="B11" s="5" t="s">
        <v>9</v>
      </c>
      <c r="C11" s="5" t="s">
        <v>10</v>
      </c>
    </row>
  </sheetData>
  <mergeCells count="2">
    <mergeCell ref="B2:G2"/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4" min="3" style="0" width="22"/>
    <col collapsed="false" customWidth="true" hidden="false" outlineLevel="0" max="6" min="5" style="0" width="15"/>
  </cols>
  <sheetData>
    <row r="2" customFormat="false" ht="24.75" hidden="false" customHeight="true" outlineLevel="0" collapsed="false"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</row>
    <row r="3" customFormat="false" ht="15" hidden="false" customHeight="false" outlineLevel="0" collapsed="false"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</row>
    <row r="4" customFormat="false" ht="15" hidden="false" customHeight="false" outlineLevel="0" collapsed="false"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</row>
    <row r="5" customFormat="false" ht="15" hidden="false" customHeight="false" outlineLevel="0" collapsed="false">
      <c r="B5" s="5" t="s">
        <v>26</v>
      </c>
      <c r="C5" s="5" t="s">
        <v>27</v>
      </c>
      <c r="D5" s="5" t="s">
        <v>28</v>
      </c>
      <c r="E5" s="5" t="s">
        <v>19</v>
      </c>
      <c r="F5" s="5" t="s">
        <v>29</v>
      </c>
    </row>
    <row r="6" customFormat="false" ht="15" hidden="false" customHeight="false" outlineLevel="0" collapsed="false">
      <c r="B6" s="7" t="s">
        <v>30</v>
      </c>
      <c r="C6" s="7" t="s">
        <v>31</v>
      </c>
      <c r="D6" s="7" t="s">
        <v>32</v>
      </c>
      <c r="E6" s="7" t="s">
        <v>33</v>
      </c>
      <c r="F6" s="7" t="s">
        <v>34</v>
      </c>
    </row>
    <row r="7" customFormat="false" ht="15" hidden="false" customHeight="false" outlineLevel="0" collapsed="false">
      <c r="B7" s="5" t="s">
        <v>35</v>
      </c>
      <c r="C7" s="5" t="s">
        <v>36</v>
      </c>
      <c r="D7" s="5" t="s">
        <v>37</v>
      </c>
      <c r="E7" s="5" t="s">
        <v>24</v>
      </c>
      <c r="F7" s="5" t="s">
        <v>38</v>
      </c>
    </row>
    <row r="8" customFormat="false" ht="15" hidden="false" customHeight="false" outlineLevel="0" collapsed="false">
      <c r="B8" s="7" t="s">
        <v>39</v>
      </c>
      <c r="C8" s="7" t="s">
        <v>40</v>
      </c>
      <c r="D8" s="7" t="s">
        <v>41</v>
      </c>
      <c r="E8" s="7" t="s">
        <v>19</v>
      </c>
      <c r="F8" s="7" t="s">
        <v>42</v>
      </c>
    </row>
    <row r="9" customFormat="false" ht="15" hidden="false" customHeight="false" outlineLevel="0" collapsed="false">
      <c r="B9" s="5" t="s">
        <v>43</v>
      </c>
      <c r="C9" s="5" t="s">
        <v>44</v>
      </c>
      <c r="D9" s="5" t="s">
        <v>45</v>
      </c>
      <c r="E9" s="5" t="s">
        <v>33</v>
      </c>
      <c r="F9" s="5" t="s">
        <v>46</v>
      </c>
    </row>
    <row r="10" customFormat="false" ht="15" hidden="false" customHeight="false" outlineLevel="0" collapsed="false">
      <c r="B10" s="7" t="s">
        <v>47</v>
      </c>
      <c r="C10" s="7" t="s">
        <v>48</v>
      </c>
      <c r="D10" s="7" t="s">
        <v>49</v>
      </c>
      <c r="E10" s="7" t="s">
        <v>24</v>
      </c>
      <c r="F10" s="7" t="s">
        <v>50</v>
      </c>
    </row>
    <row r="11" customFormat="false" ht="15" hidden="false" customHeight="false" outlineLevel="0" collapsed="false">
      <c r="B11" s="5" t="s">
        <v>51</v>
      </c>
      <c r="C11" s="5" t="s">
        <v>52</v>
      </c>
      <c r="D11" s="5" t="s">
        <v>53</v>
      </c>
      <c r="E11" s="5" t="s">
        <v>19</v>
      </c>
      <c r="F11" s="5" t="s">
        <v>54</v>
      </c>
    </row>
    <row r="12" customFormat="false" ht="15" hidden="false" customHeight="false" outlineLevel="0" collapsed="false">
      <c r="B12" s="7" t="s">
        <v>55</v>
      </c>
      <c r="C12" s="7" t="s">
        <v>56</v>
      </c>
      <c r="D12" s="7" t="s">
        <v>57</v>
      </c>
      <c r="E12" s="7" t="s">
        <v>33</v>
      </c>
      <c r="F12" s="7" t="s">
        <v>58</v>
      </c>
    </row>
    <row r="13" customFormat="false" ht="15" hidden="false" customHeight="false" outlineLevel="0" collapsed="false">
      <c r="B13" s="5" t="s">
        <v>59</v>
      </c>
      <c r="C13" s="5" t="s">
        <v>60</v>
      </c>
      <c r="D13" s="5" t="s">
        <v>61</v>
      </c>
      <c r="E13" s="5" t="s">
        <v>24</v>
      </c>
      <c r="F13" s="5" t="s">
        <v>62</v>
      </c>
    </row>
    <row r="14" customFormat="false" ht="15" hidden="false" customHeight="false" outlineLevel="0" collapsed="false">
      <c r="B14" s="7" t="s">
        <v>63</v>
      </c>
      <c r="C14" s="7" t="s">
        <v>64</v>
      </c>
      <c r="D14" s="7" t="s">
        <v>65</v>
      </c>
      <c r="E14" s="7" t="s">
        <v>19</v>
      </c>
      <c r="F14" s="7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</cols>
  <sheetData>
    <row r="2" customFormat="false" ht="24.75" hidden="false" customHeight="true" outlineLevel="0" collapsed="false">
      <c r="B2" s="6" t="s">
        <v>15</v>
      </c>
      <c r="C2" s="6" t="s">
        <v>67</v>
      </c>
      <c r="D2" s="6" t="s">
        <v>68</v>
      </c>
      <c r="E2" s="6" t="s">
        <v>69</v>
      </c>
    </row>
    <row r="3" customFormat="false" ht="15" hidden="false" customHeight="false" outlineLevel="0" collapsed="false">
      <c r="B3" s="5" t="s">
        <v>20</v>
      </c>
      <c r="C3" s="5" t="s">
        <v>70</v>
      </c>
      <c r="D3" s="8" t="n">
        <v>3</v>
      </c>
      <c r="E3" s="9" t="str">
        <f aca="false">IFERROR(INDEX(ticket!$C$3:$C$14,MATCH(B3,ticket!$F$3:$F$14,0)),"Not Found")</f>
        <v>2021-08-19 16:45:43</v>
      </c>
    </row>
    <row r="4" customFormat="false" ht="15" hidden="false" customHeight="false" outlineLevel="0" collapsed="false">
      <c r="B4" s="7" t="s">
        <v>25</v>
      </c>
      <c r="C4" s="7" t="s">
        <v>71</v>
      </c>
      <c r="D4" s="10" t="n">
        <v>4</v>
      </c>
      <c r="E4" s="11" t="str">
        <f aca="false">IFERROR(INDEX(ticket!$C$3:$C$14,MATCH(B4,ticket!$F$3:$F$14,0)),"Not Found")</f>
        <v>2021-08-21 11:09:22</v>
      </c>
    </row>
    <row r="5" customFormat="false" ht="15" hidden="false" customHeight="false" outlineLevel="0" collapsed="false">
      <c r="B5" s="5" t="s">
        <v>29</v>
      </c>
      <c r="C5" s="5" t="s">
        <v>71</v>
      </c>
      <c r="D5" s="8" t="n">
        <v>5</v>
      </c>
      <c r="E5" s="9" t="str">
        <f aca="false">IFERROR(INDEX(ticket!$C$3:$C$14,MATCH(B5,ticket!$F$3:$F$14,0)),"Not Found")</f>
        <v>2021-08-22 09:30:00</v>
      </c>
    </row>
    <row r="6" customFormat="false" ht="15" hidden="false" customHeight="false" outlineLevel="0" collapsed="false">
      <c r="B6" s="7" t="s">
        <v>34</v>
      </c>
      <c r="C6" s="7" t="s">
        <v>72</v>
      </c>
      <c r="D6" s="10" t="n">
        <v>2</v>
      </c>
      <c r="E6" s="11" t="str">
        <f aca="false">IFERROR(INDEX(ticket!$C$3:$C$14,MATCH(B6,ticket!$F$3:$F$14,0)),"Not Found")</f>
        <v>2021-08-23 14:20:00</v>
      </c>
    </row>
    <row r="7" customFormat="false" ht="15" hidden="false" customHeight="false" outlineLevel="0" collapsed="false">
      <c r="B7" s="5" t="s">
        <v>38</v>
      </c>
      <c r="C7" s="5" t="s">
        <v>73</v>
      </c>
      <c r="D7" s="8" t="n">
        <v>4</v>
      </c>
      <c r="E7" s="9" t="str">
        <f aca="false">IFERROR(INDEX(ticket!$C$3:$C$14,MATCH(B7,ticket!$F$3:$F$14,0)),"Not Found")</f>
        <v>2021-08-24 08:15:00</v>
      </c>
    </row>
    <row r="8" customFormat="false" ht="15" hidden="false" customHeight="false" outlineLevel="0" collapsed="false">
      <c r="B8" s="7" t="s">
        <v>42</v>
      </c>
      <c r="C8" s="7" t="s">
        <v>74</v>
      </c>
      <c r="D8" s="10" t="n">
        <v>3</v>
      </c>
      <c r="E8" s="11" t="str">
        <f aca="false">IFERROR(INDEX(ticket!$C$3:$C$14,MATCH(B8,ticket!$F$3:$F$14,0)),"Not Found")</f>
        <v>2021-08-25 16:00:00</v>
      </c>
    </row>
    <row r="9" customFormat="false" ht="15" hidden="false" customHeight="false" outlineLevel="0" collapsed="false">
      <c r="B9" s="5" t="s">
        <v>46</v>
      </c>
      <c r="C9" s="5" t="s">
        <v>75</v>
      </c>
      <c r="D9" s="8" t="n">
        <v>5</v>
      </c>
      <c r="E9" s="9" t="str">
        <f aca="false">IFERROR(INDEX(ticket!$C$3:$C$14,MATCH(B9,ticket!$F$3:$F$14,0)),"Not Found")</f>
        <v>2021-08-26 10:30:00</v>
      </c>
    </row>
    <row r="10" customFormat="false" ht="15" hidden="false" customHeight="false" outlineLevel="0" collapsed="false">
      <c r="B10" s="7" t="s">
        <v>50</v>
      </c>
      <c r="C10" s="7" t="s">
        <v>76</v>
      </c>
      <c r="D10" s="10" t="n">
        <v>4</v>
      </c>
      <c r="E10" s="11" t="str">
        <f aca="false">IFERROR(INDEX(ticket!$C$3:$C$14,MATCH(B10,ticket!$F$3:$F$14,0)),"Not Found")</f>
        <v>2021-08-27 13:45:00</v>
      </c>
    </row>
    <row r="11" customFormat="false" ht="15" hidden="false" customHeight="false" outlineLevel="0" collapsed="false">
      <c r="B11" s="5" t="s">
        <v>54</v>
      </c>
      <c r="C11" s="5" t="s">
        <v>77</v>
      </c>
      <c r="D11" s="8" t="n">
        <v>5</v>
      </c>
      <c r="E11" s="9" t="str">
        <f aca="false">IFERROR(INDEX(ticket!$C$3:$C$14,MATCH(B11,ticket!$F$3:$F$14,0)),"Not Found")</f>
        <v>2021-08-28 09:00:00</v>
      </c>
    </row>
    <row r="12" customFormat="false" ht="15" hidden="false" customHeight="false" outlineLevel="0" collapsed="false">
      <c r="B12" s="7" t="s">
        <v>58</v>
      </c>
      <c r="C12" s="7" t="s">
        <v>78</v>
      </c>
      <c r="D12" s="10" t="n">
        <v>3</v>
      </c>
      <c r="E12" s="11" t="str">
        <f aca="false">IFERROR(INDEX(ticket!$C$3:$C$14,MATCH(B12,ticket!$F$3:$F$14,0)),"Not Found")</f>
        <v>2021-08-29 15:30:00</v>
      </c>
    </row>
    <row r="13" customFormat="false" ht="15" hidden="false" customHeight="false" outlineLevel="0" collapsed="false">
      <c r="B13" s="5" t="s">
        <v>62</v>
      </c>
      <c r="C13" s="5" t="s">
        <v>79</v>
      </c>
      <c r="D13" s="8" t="n">
        <v>4</v>
      </c>
      <c r="E13" s="9" t="str">
        <f aca="false">IFERROR(INDEX(ticket!$C$3:$C$14,MATCH(B13,ticket!$F$3:$F$14,0)),"Not Found")</f>
        <v>2021-08-30 11:20:00</v>
      </c>
    </row>
    <row r="14" customFormat="false" ht="15" hidden="false" customHeight="false" outlineLevel="0" collapsed="false">
      <c r="B14" s="7" t="s">
        <v>66</v>
      </c>
      <c r="C14" s="7" t="s">
        <v>80</v>
      </c>
      <c r="D14" s="10" t="n">
        <v>2</v>
      </c>
      <c r="E14" s="11" t="str">
        <f aca="false">IFERROR(INDEX(ticket!$C$3:$C$14,MATCH(B14,ticket!$F$3:$F$14,0)),"Not Found")</f>
        <v>2021-08-31 08:00:00</v>
      </c>
    </row>
    <row r="16" customFormat="false" ht="15" hidden="false" customHeight="false" outlineLevel="0" collapsed="false">
      <c r="B16" s="1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5" min="4" style="0" width="16"/>
    <col collapsed="false" customWidth="true" hidden="false" outlineLevel="0" max="7" min="6" style="0" width="14"/>
  </cols>
  <sheetData>
    <row r="2" customFormat="false" ht="30" hidden="false" customHeight="true" outlineLevel="0" collapsed="false">
      <c r="B2" s="13" t="s">
        <v>82</v>
      </c>
      <c r="C2" s="13"/>
      <c r="D2" s="13"/>
      <c r="E2" s="13"/>
      <c r="F2" s="13"/>
      <c r="G2" s="13"/>
      <c r="H2" s="13"/>
    </row>
    <row r="3" customFormat="false" ht="15" hidden="false" customHeight="false" outlineLevel="0" collapsed="false">
      <c r="B3" s="14" t="s">
        <v>83</v>
      </c>
      <c r="C3" s="14"/>
      <c r="D3" s="14"/>
      <c r="E3" s="14"/>
      <c r="F3" s="14"/>
      <c r="G3" s="14"/>
      <c r="H3" s="14"/>
    </row>
    <row r="5" customFormat="false" ht="24.75" hidden="false" customHeight="true" outlineLevel="0" collapsed="false">
      <c r="B5" s="6" t="s">
        <v>84</v>
      </c>
      <c r="C5" s="6" t="s">
        <v>85</v>
      </c>
      <c r="D5" s="6" t="s">
        <v>86</v>
      </c>
      <c r="E5" s="6" t="s">
        <v>87</v>
      </c>
      <c r="F5" s="6" t="s">
        <v>88</v>
      </c>
      <c r="G5" s="6" t="s">
        <v>89</v>
      </c>
    </row>
    <row r="6" customFormat="false" ht="15" hidden="false" customHeight="false" outlineLevel="0" collapsed="false">
      <c r="B6" s="15" t="s">
        <v>19</v>
      </c>
      <c r="C6" s="8" t="n">
        <f aca="false">COUNTIF(ticket!$E$3:$E$14,B6)</f>
        <v>5</v>
      </c>
      <c r="D6" s="8" t="n">
        <f aca="false">SUMPRODUCT((ticket!$E$3:$E$14=B6)*(INT(ticket!$C$3:$C$14)=INT(ticket!$D$3:$D$14)))</f>
        <v>4</v>
      </c>
      <c r="E6" s="8" t="n">
        <f aca="false">SUMPRODUCT((ticket!$E$3:$E$14=B6)*(INT(ticket!$C$3:$C$14)=INT(ticket!$D$3:$D$14))*(HOUR(ticket!$C$3:$C$14)=HOUR(ticket!$D$3:$D$14)))</f>
        <v>2</v>
      </c>
      <c r="F6" s="16" t="n">
        <f aca="false">IF(C6=0,0,D6/C6)</f>
        <v>0.8</v>
      </c>
      <c r="G6" s="16" t="n">
        <f aca="false">IF(C6=0,0,E6/C6)</f>
        <v>0.4</v>
      </c>
    </row>
    <row r="7" customFormat="false" ht="15" hidden="false" customHeight="false" outlineLevel="0" collapsed="false">
      <c r="B7" s="17" t="s">
        <v>24</v>
      </c>
      <c r="C7" s="10" t="n">
        <f aca="false">COUNTIF(ticket!$E$3:$E$14,B7)</f>
        <v>4</v>
      </c>
      <c r="D7" s="10" t="n">
        <f aca="false">SUMPRODUCT((ticket!$E$3:$E$14=B7)*(INT(ticket!$C$3:$C$14)=INT(ticket!$D$3:$D$14)))</f>
        <v>4</v>
      </c>
      <c r="E7" s="10" t="n">
        <f aca="false">SUMPRODUCT((ticket!$E$3:$E$14=B7)*(INT(ticket!$C$3:$C$14)=INT(ticket!$D$3:$D$14))*(HOUR(ticket!$C$3:$C$14)=HOUR(ticket!$D$3:$D$14)))</f>
        <v>2</v>
      </c>
      <c r="F7" s="18" t="n">
        <f aca="false">IF(C7=0,0,D7/C7)</f>
        <v>1</v>
      </c>
      <c r="G7" s="18" t="n">
        <f aca="false">IF(C7=0,0,E7/C7)</f>
        <v>0.5</v>
      </c>
    </row>
    <row r="8" customFormat="false" ht="15" hidden="false" customHeight="false" outlineLevel="0" collapsed="false">
      <c r="B8" s="15" t="s">
        <v>33</v>
      </c>
      <c r="C8" s="8" t="n">
        <f aca="false">COUNTIF(ticket!$E$3:$E$14,B8)</f>
        <v>3</v>
      </c>
      <c r="D8" s="8" t="n">
        <f aca="false">SUMPRODUCT((ticket!$E$3:$E$14=B8)*(INT(ticket!$C$3:$C$14)=INT(ticket!$D$3:$D$14)))</f>
        <v>1</v>
      </c>
      <c r="E8" s="8" t="n">
        <f aca="false">SUMPRODUCT((ticket!$E$3:$E$14=B8)*(INT(ticket!$C$3:$C$14)=INT(ticket!$D$3:$D$14))*(HOUR(ticket!$C$3:$C$14)=HOUR(ticket!$D$3:$D$14)))</f>
        <v>0</v>
      </c>
      <c r="F8" s="16" t="n">
        <f aca="false">IF(C8=0,0,D8/C8)</f>
        <v>0.333333333333333</v>
      </c>
      <c r="G8" s="16" t="n">
        <f aca="false">IF(C8=0,0,E8/C8)</f>
        <v>0</v>
      </c>
    </row>
    <row r="9" customFormat="false" ht="15" hidden="false" customHeight="false" outlineLevel="0" collapsed="false">
      <c r="B9" s="19" t="s">
        <v>90</v>
      </c>
      <c r="C9" s="19" t="n">
        <f aca="false">SUM(C6:C8)</f>
        <v>12</v>
      </c>
      <c r="D9" s="19" t="n">
        <f aca="false">SUM(D6:D8)</f>
        <v>9</v>
      </c>
      <c r="E9" s="19" t="n">
        <f aca="false">SUM(E6:E8)</f>
        <v>4</v>
      </c>
      <c r="F9" s="20" t="n">
        <f aca="false">D9/C9</f>
        <v>0.75</v>
      </c>
      <c r="G9" s="20" t="n">
        <f aca="false">E9/C9</f>
        <v>0.333333333333333</v>
      </c>
    </row>
    <row r="12" customFormat="false" ht="15" hidden="false" customHeight="false" outlineLevel="0" collapsed="false">
      <c r="B12" s="21" t="s">
        <v>91</v>
      </c>
    </row>
    <row r="13" customFormat="false" ht="15" hidden="false" customHeight="false" outlineLevel="0" collapsed="false">
      <c r="B13" s="22" t="s">
        <v>92</v>
      </c>
    </row>
    <row r="14" customFormat="false" ht="15" hidden="false" customHeight="false" outlineLevel="0" collapsed="false">
      <c r="B14" s="22" t="s">
        <v>93</v>
      </c>
    </row>
    <row r="15" customFormat="false" ht="15" hidden="false" customHeight="false" outlineLevel="0" collapsed="false">
      <c r="B15" s="22" t="s">
        <v>94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2026-04-08T13:39:25Z</dcterms:created>
  <dc:creator>openpyxl</dc:creator>
  <dc:description/>
  <dc:language>en-US</dc:language>
  <cp:lastModifiedBy/>
  <dcterms:modified xsi:type="dcterms:W3CDTF">2026-04-08T13:40:34Z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